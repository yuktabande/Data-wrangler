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KPI_Dashboard" sheetId="3" state="visible" r:id="rId3"/>
    <sheet xmlns:r="http://schemas.openxmlformats.org/officeDocument/2006/relationships" name="Monthly_Trends" sheetId="4" state="visible" r:id="rId4"/>
    <sheet xmlns:r="http://schemas.openxmlformats.org/officeDocument/2006/relationships" name="Region_Analysis" sheetId="5" state="visible" r:id="rId5"/>
    <sheet xmlns:r="http://schemas.openxmlformats.org/officeDocument/2006/relationships" name="Product_Performance" sheetId="6" state="visible" r:id="rId6"/>
    <sheet xmlns:r="http://schemas.openxmlformats.org/officeDocument/2006/relationships" name="Customer_Analysis" sheetId="7" state="visible" r:id="rId7"/>
    <sheet xmlns:r="http://schemas.openxmlformats.org/officeDocument/2006/relationships" name="Pivot_Table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Customer_ID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Revenue</t>
        </is>
      </c>
    </row>
    <row r="2">
      <c r="A2" t="n">
        <v>1</v>
      </c>
      <c r="B2" t="inlineStr">
        <is>
          <t>2026-06-01</t>
        </is>
      </c>
      <c r="C2" t="inlineStr">
        <is>
          <t>C001</t>
        </is>
      </c>
      <c r="D2" t="inlineStr">
        <is>
          <t>Laptop</t>
        </is>
      </c>
      <c r="E2" t="inlineStr">
        <is>
          <t>Electronics</t>
        </is>
      </c>
      <c r="F2" t="inlineStr">
        <is>
          <t>West</t>
        </is>
      </c>
      <c r="G2" t="n">
        <v>2</v>
      </c>
      <c r="H2" t="n">
        <v>50000</v>
      </c>
      <c r="I2" t="n">
        <v>100000</v>
      </c>
    </row>
    <row r="3">
      <c r="A3" t="n">
        <v>2</v>
      </c>
      <c r="B3" t="inlineStr">
        <is>
          <t>2026-06-02</t>
        </is>
      </c>
      <c r="C3" t="inlineStr">
        <is>
          <t>C002</t>
        </is>
      </c>
      <c r="D3" t="inlineStr">
        <is>
          <t>Mouse</t>
        </is>
      </c>
      <c r="E3" t="inlineStr">
        <is>
          <t>Electronics</t>
        </is>
      </c>
      <c r="F3" t="inlineStr">
        <is>
          <t>North</t>
        </is>
      </c>
      <c r="G3" t="n">
        <v>5</v>
      </c>
      <c r="H3" t="n">
        <v>800</v>
      </c>
      <c r="I3" t="n">
        <v>4000</v>
      </c>
    </row>
    <row r="4">
      <c r="A4" t="n">
        <v>3</v>
      </c>
      <c r="B4" t="inlineStr">
        <is>
          <t>2026-06-03</t>
        </is>
      </c>
      <c r="C4" t="inlineStr">
        <is>
          <t>C003</t>
        </is>
      </c>
      <c r="D4" t="inlineStr">
        <is>
          <t>Keyboard</t>
        </is>
      </c>
      <c r="E4" t="inlineStr">
        <is>
          <t>Electronics</t>
        </is>
      </c>
      <c r="F4" t="inlineStr">
        <is>
          <t>South</t>
        </is>
      </c>
      <c r="G4" t="n">
        <v>3</v>
      </c>
      <c r="H4" t="n">
        <v>1500</v>
      </c>
      <c r="I4" t="n">
        <v>4500</v>
      </c>
    </row>
    <row r="5">
      <c r="A5" t="n">
        <v>4</v>
      </c>
      <c r="B5" t="inlineStr">
        <is>
          <t>2026-06-04</t>
        </is>
      </c>
      <c r="C5" t="inlineStr">
        <is>
          <t>C004</t>
        </is>
      </c>
      <c r="D5" t="inlineStr">
        <is>
          <t>Chair</t>
        </is>
      </c>
      <c r="E5" t="inlineStr">
        <is>
          <t>Furniture</t>
        </is>
      </c>
      <c r="F5" t="inlineStr">
        <is>
          <t>East</t>
        </is>
      </c>
      <c r="G5" t="n">
        <v>1</v>
      </c>
      <c r="H5" t="n">
        <v>7000</v>
      </c>
      <c r="I5" t="n">
        <v>7000</v>
      </c>
    </row>
    <row r="6">
      <c r="A6" t="n">
        <v>5</v>
      </c>
      <c r="B6" t="inlineStr">
        <is>
          <t>2026-06-05</t>
        </is>
      </c>
      <c r="C6" t="inlineStr">
        <is>
          <t>C005</t>
        </is>
      </c>
      <c r="D6" t="inlineStr">
        <is>
          <t>Desk</t>
        </is>
      </c>
      <c r="E6" t="inlineStr">
        <is>
          <t>Furniture</t>
        </is>
      </c>
      <c r="F6" t="inlineStr">
        <is>
          <t>West</t>
        </is>
      </c>
      <c r="G6" t="n">
        <v>1</v>
      </c>
      <c r="H6" t="n">
        <v>12000</v>
      </c>
      <c r="I6" t="n">
        <v>12000</v>
      </c>
    </row>
    <row r="7">
      <c r="A7" t="n">
        <v>6</v>
      </c>
      <c r="B7" t="inlineStr">
        <is>
          <t>2026-06-06</t>
        </is>
      </c>
      <c r="C7" t="inlineStr">
        <is>
          <t>C006</t>
        </is>
      </c>
      <c r="D7" t="inlineStr">
        <is>
          <t>Monitor</t>
        </is>
      </c>
      <c r="E7" t="inlineStr">
        <is>
          <t>Electronics</t>
        </is>
      </c>
      <c r="F7" t="inlineStr">
        <is>
          <t>North</t>
        </is>
      </c>
      <c r="G7" t="n">
        <v>2</v>
      </c>
      <c r="H7" t="n">
        <v>15000</v>
      </c>
      <c r="I7" t="n">
        <v>30000</v>
      </c>
    </row>
    <row r="8">
      <c r="A8" t="n">
        <v>7</v>
      </c>
      <c r="B8" t="inlineStr">
        <is>
          <t>2026-06-07</t>
        </is>
      </c>
      <c r="C8" t="inlineStr">
        <is>
          <t>C007</t>
        </is>
      </c>
      <c r="D8" t="inlineStr">
        <is>
          <t>Notebook</t>
        </is>
      </c>
      <c r="E8" t="inlineStr">
        <is>
          <t>Stationery</t>
        </is>
      </c>
      <c r="F8" t="inlineStr">
        <is>
          <t>South</t>
        </is>
      </c>
      <c r="G8" t="n">
        <v>20</v>
      </c>
      <c r="H8" t="n">
        <v>100</v>
      </c>
      <c r="I8" t="n">
        <v>2000</v>
      </c>
    </row>
    <row r="9">
      <c r="A9" t="n">
        <v>8</v>
      </c>
      <c r="B9" t="inlineStr">
        <is>
          <t>2026-06-08</t>
        </is>
      </c>
      <c r="C9" t="inlineStr">
        <is>
          <t>C008</t>
        </is>
      </c>
      <c r="D9" t="inlineStr">
        <is>
          <t>Pen</t>
        </is>
      </c>
      <c r="E9" t="inlineStr">
        <is>
          <t>Stationery</t>
        </is>
      </c>
      <c r="F9" t="inlineStr">
        <is>
          <t>East</t>
        </is>
      </c>
      <c r="G9" t="n">
        <v>50</v>
      </c>
      <c r="H9" t="n">
        <v>20</v>
      </c>
      <c r="I9" t="n">
        <v>1000</v>
      </c>
    </row>
    <row r="10">
      <c r="A10" t="n">
        <v>9</v>
      </c>
      <c r="B10" t="inlineStr">
        <is>
          <t>2026-06-09</t>
        </is>
      </c>
      <c r="C10" t="inlineStr">
        <is>
          <t>C009</t>
        </is>
      </c>
      <c r="D10" t="inlineStr">
        <is>
          <t>Headphones</t>
        </is>
      </c>
      <c r="E10" t="inlineStr">
        <is>
          <t>Electronics</t>
        </is>
      </c>
      <c r="F10" t="inlineStr">
        <is>
          <t>West</t>
        </is>
      </c>
      <c r="G10" t="n">
        <v>2</v>
      </c>
      <c r="H10" t="n">
        <v>3000</v>
      </c>
      <c r="I10" t="n">
        <v>6000</v>
      </c>
    </row>
    <row r="11">
      <c r="A11" t="n">
        <v>10</v>
      </c>
      <c r="B11" t="inlineStr">
        <is>
          <t>2026-06-10</t>
        </is>
      </c>
      <c r="C11" t="inlineStr">
        <is>
          <t>C010</t>
        </is>
      </c>
      <c r="D11" t="inlineStr">
        <is>
          <t>Webcam</t>
        </is>
      </c>
      <c r="E11" t="inlineStr">
        <is>
          <t>Electronics</t>
        </is>
      </c>
      <c r="F11" t="inlineStr">
        <is>
          <t>North</t>
        </is>
      </c>
      <c r="G11" t="n">
        <v>1</v>
      </c>
      <c r="H11" t="n">
        <v>2500</v>
      </c>
      <c r="I11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Revenue</t>
        </is>
      </c>
    </row>
    <row r="2">
      <c r="A2" t="inlineStr">
        <is>
          <t>2026-06-01</t>
        </is>
      </c>
      <c r="B2">
        <f>TEXT(A2,"mmm")</f>
        <v/>
      </c>
      <c r="C2">
        <f>"Q"&amp;ROUNDUP(MONTH(A2)/3,0)</f>
        <v/>
      </c>
      <c r="D2" t="inlineStr">
        <is>
          <t>Laptop</t>
        </is>
      </c>
      <c r="E2" t="inlineStr">
        <is>
          <t>Electronics</t>
        </is>
      </c>
      <c r="F2" t="inlineStr">
        <is>
          <t>West</t>
        </is>
      </c>
      <c r="G2" t="n">
        <v>100000</v>
      </c>
    </row>
    <row r="3">
      <c r="A3" t="inlineStr">
        <is>
          <t>2026-06-02</t>
        </is>
      </c>
      <c r="B3">
        <f>TEXT(A3,"mmm")</f>
        <v/>
      </c>
      <c r="C3">
        <f>"Q"&amp;ROUNDUP(MONTH(A3)/3,0)</f>
        <v/>
      </c>
      <c r="D3" t="inlineStr">
        <is>
          <t>Mouse</t>
        </is>
      </c>
      <c r="E3" t="inlineStr">
        <is>
          <t>Electronics</t>
        </is>
      </c>
      <c r="F3" t="inlineStr">
        <is>
          <t>North</t>
        </is>
      </c>
      <c r="G3" t="n">
        <v>4000</v>
      </c>
    </row>
    <row r="4">
      <c r="A4" t="inlineStr">
        <is>
          <t>2026-06-03</t>
        </is>
      </c>
      <c r="B4">
        <f>TEXT(A4,"mmm")</f>
        <v/>
      </c>
      <c r="C4">
        <f>"Q"&amp;ROUNDUP(MONTH(A4)/3,0)</f>
        <v/>
      </c>
      <c r="D4" t="inlineStr">
        <is>
          <t>Keyboard</t>
        </is>
      </c>
      <c r="E4" t="inlineStr">
        <is>
          <t>Electronics</t>
        </is>
      </c>
      <c r="F4" t="inlineStr">
        <is>
          <t>South</t>
        </is>
      </c>
      <c r="G4" t="n">
        <v>4500</v>
      </c>
    </row>
    <row r="5">
      <c r="A5" t="inlineStr">
        <is>
          <t>2026-06-04</t>
        </is>
      </c>
      <c r="B5">
        <f>TEXT(A5,"mmm")</f>
        <v/>
      </c>
      <c r="C5">
        <f>"Q"&amp;ROUNDUP(MONTH(A5)/3,0)</f>
        <v/>
      </c>
      <c r="D5" t="inlineStr">
        <is>
          <t>Chair</t>
        </is>
      </c>
      <c r="E5" t="inlineStr">
        <is>
          <t>Furniture</t>
        </is>
      </c>
      <c r="F5" t="inlineStr">
        <is>
          <t>East</t>
        </is>
      </c>
      <c r="G5" t="n">
        <v>7000</v>
      </c>
    </row>
    <row r="6">
      <c r="A6" t="inlineStr">
        <is>
          <t>2026-06-05</t>
        </is>
      </c>
      <c r="B6">
        <f>TEXT(A6,"mmm")</f>
        <v/>
      </c>
      <c r="C6">
        <f>"Q"&amp;ROUNDUP(MONTH(A6)/3,0)</f>
        <v/>
      </c>
      <c r="D6" t="inlineStr">
        <is>
          <t>Desk</t>
        </is>
      </c>
      <c r="E6" t="inlineStr">
        <is>
          <t>Furniture</t>
        </is>
      </c>
      <c r="F6" t="inlineStr">
        <is>
          <t>West</t>
        </is>
      </c>
      <c r="G6" t="n">
        <v>12000</v>
      </c>
    </row>
    <row r="7">
      <c r="A7" t="inlineStr">
        <is>
          <t>2026-06-06</t>
        </is>
      </c>
      <c r="B7">
        <f>TEXT(A7,"mmm")</f>
        <v/>
      </c>
      <c r="C7">
        <f>"Q"&amp;ROUNDUP(MONTH(A7)/3,0)</f>
        <v/>
      </c>
      <c r="D7" t="inlineStr">
        <is>
          <t>Monitor</t>
        </is>
      </c>
      <c r="E7" t="inlineStr">
        <is>
          <t>Electronics</t>
        </is>
      </c>
      <c r="F7" t="inlineStr">
        <is>
          <t>North</t>
        </is>
      </c>
      <c r="G7" t="n">
        <v>30000</v>
      </c>
    </row>
    <row r="8">
      <c r="A8" t="inlineStr">
        <is>
          <t>2026-06-07</t>
        </is>
      </c>
      <c r="B8">
        <f>TEXT(A8,"mmm")</f>
        <v/>
      </c>
      <c r="C8">
        <f>"Q"&amp;ROUNDUP(MONTH(A8)/3,0)</f>
        <v/>
      </c>
      <c r="D8" t="inlineStr">
        <is>
          <t>Notebook</t>
        </is>
      </c>
      <c r="E8" t="inlineStr">
        <is>
          <t>Stationery</t>
        </is>
      </c>
      <c r="F8" t="inlineStr">
        <is>
          <t>South</t>
        </is>
      </c>
      <c r="G8" t="n">
        <v>2000</v>
      </c>
    </row>
    <row r="9">
      <c r="A9" t="inlineStr">
        <is>
          <t>2026-06-08</t>
        </is>
      </c>
      <c r="B9">
        <f>TEXT(A9,"mmm")</f>
        <v/>
      </c>
      <c r="C9">
        <f>"Q"&amp;ROUNDUP(MONTH(A9)/3,0)</f>
        <v/>
      </c>
      <c r="D9" t="inlineStr">
        <is>
          <t>Pen</t>
        </is>
      </c>
      <c r="E9" t="inlineStr">
        <is>
          <t>Stationery</t>
        </is>
      </c>
      <c r="F9" t="inlineStr">
        <is>
          <t>East</t>
        </is>
      </c>
      <c r="G9" t="n">
        <v>1000</v>
      </c>
    </row>
    <row r="10">
      <c r="A10" t="inlineStr">
        <is>
          <t>2026-06-09</t>
        </is>
      </c>
      <c r="B10">
        <f>TEXT(A10,"mmm")</f>
        <v/>
      </c>
      <c r="C10">
        <f>"Q"&amp;ROUNDUP(MONTH(A10)/3,0)</f>
        <v/>
      </c>
      <c r="D10" t="inlineStr">
        <is>
          <t>Headphones</t>
        </is>
      </c>
      <c r="E10" t="inlineStr">
        <is>
          <t>Electronics</t>
        </is>
      </c>
      <c r="F10" t="inlineStr">
        <is>
          <t>West</t>
        </is>
      </c>
      <c r="G10" t="n">
        <v>6000</v>
      </c>
    </row>
    <row r="11">
      <c r="A11" t="inlineStr">
        <is>
          <t>2026-06-10</t>
        </is>
      </c>
      <c r="B11">
        <f>TEXT(A11,"mmm")</f>
        <v/>
      </c>
      <c r="C11">
        <f>"Q"&amp;ROUNDUP(MONTH(A11)/3,0)</f>
        <v/>
      </c>
      <c r="D11" t="inlineStr">
        <is>
          <t>Webcam</t>
        </is>
      </c>
      <c r="E11" t="inlineStr">
        <is>
          <t>Electronics</t>
        </is>
      </c>
      <c r="F11" t="inlineStr">
        <is>
          <t>North</t>
        </is>
      </c>
      <c r="G11" t="n">
        <v>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>
        <f>SUM(Cleaned_Data!G:G)</f>
        <v/>
      </c>
    </row>
    <row r="3">
      <c r="A3" t="inlineStr">
        <is>
          <t>Total Orders</t>
        </is>
      </c>
      <c r="B3">
        <f>COUNTA(Cleaned_Data!A:A)-1</f>
        <v/>
      </c>
    </row>
    <row r="4">
      <c r="A4" t="inlineStr">
        <is>
          <t>Average Order Value</t>
        </is>
      </c>
      <c r="B4">
        <f>B2/B3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Customer_ID</t>
        </is>
      </c>
      <c r="B2" t="inlineStr">
        <is>
          <t>Unique customer identifier</t>
        </is>
      </c>
    </row>
    <row r="3">
      <c r="A3" t="inlineStr">
        <is>
          <t>Revenue</t>
        </is>
      </c>
      <c r="B3" t="inlineStr">
        <is>
          <t>Quantity × Unit Price</t>
        </is>
      </c>
    </row>
    <row r="4">
      <c r="A4" t="inlineStr">
        <is>
          <t>Region</t>
        </is>
      </c>
      <c r="B4" t="inlineStr">
        <is>
          <t>Sales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2026-06-01T10:59:53Z</dcterms:created>
  <dcterms:modified xmlns:dcterms="http://purl.org/dc/terms/" xmlns:xsi="http://www.w3.org/2001/XMLSchema-instance" xsi:type="dcterms:W3CDTF">2026-06-01T10:59:53Z</dcterms:modified>
</cp:coreProperties>
</file>